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E\GeoTech\AGILE\Soybean Project\"/>
    </mc:Choice>
  </mc:AlternateContent>
  <xr:revisionPtr revIDLastSave="0" documentId="13_ncr:1_{CC2E9CAE-BE48-4FED-8BDD-CBD94442EE40}" xr6:coauthVersionLast="47" xr6:coauthVersionMax="47" xr10:uidLastSave="{00000000-0000-0000-0000-000000000000}"/>
  <bookViews>
    <workbookView xWindow="-108" yWindow="-108" windowWidth="23256" windowHeight="12456" activeTab="1" xr2:uid="{0BBFB276-E0C9-4066-BB0D-E9B76CCD39F4}"/>
  </bookViews>
  <sheets>
    <sheet name="CRITERIA" sheetId="1" r:id="rId1"/>
    <sheet name="AHP" sheetId="3" r:id="rId2"/>
    <sheet name="Final Weigh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3" l="1"/>
  <c r="J15" i="3"/>
  <c r="J16" i="3"/>
  <c r="J17" i="3"/>
  <c r="J18" i="3"/>
  <c r="J19" i="3"/>
  <c r="J20" i="3"/>
  <c r="J14" i="3"/>
  <c r="G20" i="3"/>
  <c r="G19" i="3"/>
  <c r="G18" i="3"/>
  <c r="F18" i="3"/>
  <c r="F17" i="3"/>
  <c r="F16" i="3"/>
  <c r="F15" i="3"/>
  <c r="F14" i="3"/>
  <c r="E20" i="3"/>
  <c r="E14" i="3"/>
  <c r="D20" i="3"/>
  <c r="D19" i="3"/>
  <c r="D18" i="3"/>
  <c r="D17" i="3"/>
  <c r="D16" i="3"/>
  <c r="D15" i="3"/>
  <c r="D14" i="3"/>
  <c r="C17" i="3"/>
  <c r="C16" i="3"/>
  <c r="C15" i="3"/>
  <c r="C14" i="3"/>
  <c r="B18" i="3"/>
  <c r="B17" i="3"/>
  <c r="C10" i="3"/>
  <c r="C20" i="3" s="1"/>
  <c r="D10" i="3"/>
  <c r="E10" i="3"/>
  <c r="E19" i="3" s="1"/>
  <c r="F10" i="3"/>
  <c r="F20" i="3" s="1"/>
  <c r="G10" i="3"/>
  <c r="G17" i="3" s="1"/>
  <c r="H10" i="3"/>
  <c r="H20" i="3" s="1"/>
  <c r="B10" i="3"/>
  <c r="B16" i="3" s="1"/>
  <c r="H14" i="3" l="1"/>
  <c r="B19" i="3"/>
  <c r="I19" i="3" s="1"/>
  <c r="B20" i="3"/>
  <c r="I20" i="3" s="1"/>
  <c r="H15" i="3"/>
  <c r="H16" i="3"/>
  <c r="F19" i="3"/>
  <c r="H18" i="3"/>
  <c r="H17" i="3"/>
  <c r="E15" i="3"/>
  <c r="C18" i="3"/>
  <c r="I18" i="3" s="1"/>
  <c r="E16" i="3"/>
  <c r="I16" i="3" s="1"/>
  <c r="G14" i="3"/>
  <c r="H19" i="3"/>
  <c r="B14" i="3"/>
  <c r="I14" i="3" s="1"/>
  <c r="C19" i="3"/>
  <c r="E17" i="3"/>
  <c r="G15" i="3"/>
  <c r="B15" i="3"/>
  <c r="E18" i="3"/>
  <c r="G16" i="3"/>
  <c r="I15" i="3"/>
  <c r="I17" i="3" l="1"/>
  <c r="E27" i="3" s="1"/>
  <c r="F27" i="3"/>
  <c r="F28" i="3"/>
  <c r="F25" i="3"/>
  <c r="F26" i="3"/>
  <c r="F24" i="3"/>
  <c r="F29" i="3"/>
  <c r="F30" i="3"/>
  <c r="C27" i="3"/>
  <c r="C29" i="3"/>
  <c r="C24" i="3"/>
  <c r="C25" i="3"/>
  <c r="C26" i="3"/>
  <c r="C28" i="3"/>
  <c r="C30" i="3"/>
  <c r="D29" i="3"/>
  <c r="D24" i="3"/>
  <c r="D30" i="3"/>
  <c r="D25" i="3"/>
  <c r="D26" i="3"/>
  <c r="D27" i="3"/>
  <c r="D28" i="3"/>
  <c r="H25" i="3"/>
  <c r="H24" i="3"/>
  <c r="H28" i="3"/>
  <c r="H27" i="3"/>
  <c r="H29" i="3"/>
  <c r="H30" i="3"/>
  <c r="H26" i="3"/>
  <c r="G27" i="3"/>
  <c r="G29" i="3"/>
  <c r="G25" i="3"/>
  <c r="G26" i="3"/>
  <c r="G28" i="3"/>
  <c r="G30" i="3"/>
  <c r="G24" i="3"/>
  <c r="B29" i="3"/>
  <c r="B26" i="3"/>
  <c r="B25" i="3"/>
  <c r="B24" i="3"/>
  <c r="B27" i="3"/>
  <c r="B28" i="3"/>
  <c r="B30" i="3"/>
  <c r="I21" i="3"/>
  <c r="E25" i="3" l="1"/>
  <c r="E30" i="3"/>
  <c r="E24" i="3"/>
  <c r="E26" i="3"/>
  <c r="E29" i="3"/>
  <c r="I29" i="3" s="1"/>
  <c r="K29" i="3" s="1"/>
  <c r="E28" i="3"/>
  <c r="I25" i="3"/>
  <c r="K25" i="3" s="1"/>
  <c r="I30" i="3"/>
  <c r="K30" i="3" s="1"/>
  <c r="I28" i="3"/>
  <c r="K28" i="3" s="1"/>
  <c r="I27" i="3"/>
  <c r="K27" i="3" s="1"/>
  <c r="I24" i="3"/>
  <c r="K24" i="3" s="1"/>
  <c r="I26" i="3"/>
  <c r="K26" i="3" s="1"/>
  <c r="K31" i="3" l="1"/>
  <c r="C32" i="3" s="1"/>
  <c r="C33" i="3" s="1"/>
</calcChain>
</file>

<file path=xl/sharedStrings.xml><?xml version="1.0" encoding="utf-8"?>
<sst xmlns="http://schemas.openxmlformats.org/spreadsheetml/2006/main" count="116" uniqueCount="62">
  <si>
    <t>Parameters</t>
  </si>
  <si>
    <t>Soil pH</t>
  </si>
  <si>
    <t>OC</t>
  </si>
  <si>
    <t>Slope</t>
  </si>
  <si>
    <t>Drainage</t>
  </si>
  <si>
    <t>LU/LC</t>
  </si>
  <si>
    <t>Temperature</t>
  </si>
  <si>
    <t>Precipitation</t>
  </si>
  <si>
    <t>N1  (2)</t>
  </si>
  <si>
    <t>S3  (3)</t>
  </si>
  <si>
    <t>S2   (4)</t>
  </si>
  <si>
    <t>S1   (5)</t>
  </si>
  <si>
    <t>N2   (1)</t>
  </si>
  <si>
    <t>6 to 7</t>
  </si>
  <si>
    <t>5.5 to 6</t>
  </si>
  <si>
    <t>5.0 to 5.5</t>
  </si>
  <si>
    <t>4.5 to 5.0</t>
  </si>
  <si>
    <t>&lt; 4.5</t>
  </si>
  <si>
    <t>2.4 to 3.5</t>
  </si>
  <si>
    <t>1.5 to 2.4</t>
  </si>
  <si>
    <t>0.8 to 1.5</t>
  </si>
  <si>
    <t>0.4 to 0.8</t>
  </si>
  <si>
    <t>&lt; 0.4</t>
  </si>
  <si>
    <t>0 to 2</t>
  </si>
  <si>
    <t>2 to 4</t>
  </si>
  <si>
    <t>4 to 6</t>
  </si>
  <si>
    <t>6 to 8</t>
  </si>
  <si>
    <t>8 to 10</t>
  </si>
  <si>
    <t>0 to 10</t>
  </si>
  <si>
    <t>10 to 15</t>
  </si>
  <si>
    <t>15 to 20</t>
  </si>
  <si>
    <t>20 to 25</t>
  </si>
  <si>
    <t>15 to 17</t>
  </si>
  <si>
    <t>5 to 8</t>
  </si>
  <si>
    <t>pH</t>
  </si>
  <si>
    <t>Organic Carbon</t>
  </si>
  <si>
    <t>Land Use</t>
  </si>
  <si>
    <t>TOTAL</t>
  </si>
  <si>
    <t>W</t>
  </si>
  <si>
    <t>Normalized Values and Weights</t>
  </si>
  <si>
    <t>Ws</t>
  </si>
  <si>
    <t>Weighted Sum Vectors &amp; Largest Eigenvalue</t>
  </si>
  <si>
    <t>CI</t>
  </si>
  <si>
    <t>CR</t>
  </si>
  <si>
    <t>Pairwise Comparison</t>
  </si>
  <si>
    <t>%</t>
  </si>
  <si>
    <t>600 to 1000</t>
  </si>
  <si>
    <t>1000 to 1400</t>
  </si>
  <si>
    <t>597 to 600</t>
  </si>
  <si>
    <t>1400 to 2000</t>
  </si>
  <si>
    <t>LULC</t>
  </si>
  <si>
    <t>Weights (approx. to nearest whole number)</t>
  </si>
  <si>
    <t>Land Suitability Criteria</t>
  </si>
  <si>
    <t>&gt; 8</t>
  </si>
  <si>
    <t>&gt; 25</t>
  </si>
  <si>
    <t>Vegetation</t>
  </si>
  <si>
    <t>Forest/Rangeland</t>
  </si>
  <si>
    <t>Bare lands</t>
  </si>
  <si>
    <t>Flooded Vegetation</t>
  </si>
  <si>
    <t>Built-up areas/Water</t>
  </si>
  <si>
    <t>&lt; 5</t>
  </si>
  <si>
    <t>&gt;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</si>
</sst>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1"/>
      <color rgb="FFFF0000"/>
      <name val="Aptos Narrow"/>
      <family val="2"/>
      <scheme val="minor"/>
    </font>
    <font>
      <b/>
      <sz val="10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165" fontId="0" fillId="0" borderId="0" xfId="0" applyNumberFormat="1"/>
    <xf numFmtId="0" fontId="4" fillId="0" borderId="0" xfId="0" applyFont="1" applyAlignment="1">
      <alignment horizontal="center"/>
    </xf>
    <xf numFmtId="165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2" fillId="0" borderId="0" xfId="0" applyNumberFormat="1" applyFont="1"/>
    <xf numFmtId="1" fontId="4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CWI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Weights'!$A$2:$A$8</c:f>
              <c:strCache>
                <c:ptCount val="7"/>
                <c:pt idx="0">
                  <c:v>pH</c:v>
                </c:pt>
                <c:pt idx="1">
                  <c:v>OC</c:v>
                </c:pt>
                <c:pt idx="2">
                  <c:v>Slope</c:v>
                </c:pt>
                <c:pt idx="3">
                  <c:v>Drainage</c:v>
                </c:pt>
                <c:pt idx="4">
                  <c:v>LULC</c:v>
                </c:pt>
                <c:pt idx="5">
                  <c:v>Temperature</c:v>
                </c:pt>
                <c:pt idx="6">
                  <c:v>Precipitation</c:v>
                </c:pt>
              </c:strCache>
            </c:strRef>
          </c:cat>
          <c:val>
            <c:numRef>
              <c:f>'Final Weights'!$B$2:$B$8</c:f>
              <c:numCache>
                <c:formatCode>General</c:formatCode>
                <c:ptCount val="7"/>
                <c:pt idx="0">
                  <c:v>9</c:v>
                </c:pt>
                <c:pt idx="1">
                  <c:v>6</c:v>
                </c:pt>
                <c:pt idx="2">
                  <c:v>16</c:v>
                </c:pt>
                <c:pt idx="3">
                  <c:v>26</c:v>
                </c:pt>
                <c:pt idx="4">
                  <c:v>26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B-4C34-9658-42CB1EC1A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9572368"/>
        <c:axId val="1019573808"/>
      </c:barChart>
      <c:catAx>
        <c:axId val="101957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573808"/>
        <c:crosses val="autoZero"/>
        <c:auto val="1"/>
        <c:lblAlgn val="ctr"/>
        <c:lblOffset val="100"/>
        <c:noMultiLvlLbl val="0"/>
      </c:catAx>
      <c:valAx>
        <c:axId val="101957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57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3</xdr:row>
      <xdr:rowOff>7620</xdr:rowOff>
    </xdr:from>
    <xdr:to>
      <xdr:col>11</xdr:col>
      <xdr:colOff>601980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1E519-928A-C530-78A6-CB33CA7ED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AB58-D73B-4845-B3B9-1D8A1F9BB097}">
  <dimension ref="B1:G9"/>
  <sheetViews>
    <sheetView zoomScaleNormal="100" workbookViewId="0">
      <selection activeCell="E16" sqref="E16"/>
    </sheetView>
  </sheetViews>
  <sheetFormatPr defaultRowHeight="14.4" x14ac:dyDescent="0.3"/>
  <cols>
    <col min="1" max="1" width="4.5546875" customWidth="1"/>
    <col min="2" max="2" width="11.5546875" customWidth="1"/>
    <col min="3" max="3" width="10.6640625" customWidth="1"/>
    <col min="4" max="4" width="15.44140625" customWidth="1"/>
    <col min="5" max="5" width="10.5546875" customWidth="1"/>
    <col min="6" max="6" width="17" customWidth="1"/>
    <col min="7" max="7" width="17.88671875" customWidth="1"/>
  </cols>
  <sheetData>
    <row r="1" spans="2:7" x14ac:dyDescent="0.3">
      <c r="B1" s="17" t="s">
        <v>52</v>
      </c>
      <c r="C1" s="17"/>
      <c r="D1" s="17"/>
      <c r="E1" s="17"/>
      <c r="F1" s="17"/>
      <c r="G1" s="17"/>
    </row>
    <row r="2" spans="2:7" x14ac:dyDescent="0.3">
      <c r="B2" s="3" t="s">
        <v>0</v>
      </c>
      <c r="C2" s="3" t="s">
        <v>11</v>
      </c>
      <c r="D2" s="3" t="s">
        <v>10</v>
      </c>
      <c r="E2" s="3" t="s">
        <v>9</v>
      </c>
      <c r="F2" s="3" t="s">
        <v>8</v>
      </c>
      <c r="G2" s="3" t="s">
        <v>12</v>
      </c>
    </row>
    <row r="3" spans="2:7" x14ac:dyDescent="0.3">
      <c r="B3" s="2" t="s">
        <v>1</v>
      </c>
      <c r="C3" s="1" t="s">
        <v>13</v>
      </c>
      <c r="D3" t="s">
        <v>14</v>
      </c>
      <c r="E3" t="s">
        <v>15</v>
      </c>
      <c r="F3" t="s">
        <v>16</v>
      </c>
      <c r="G3" t="s">
        <v>17</v>
      </c>
    </row>
    <row r="4" spans="2:7" x14ac:dyDescent="0.3">
      <c r="B4" s="2" t="s">
        <v>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2:7" x14ac:dyDescent="0.3">
      <c r="B5" s="2" t="s">
        <v>3</v>
      </c>
      <c r="C5" t="s">
        <v>23</v>
      </c>
      <c r="D5" t="s">
        <v>24</v>
      </c>
      <c r="E5" t="s">
        <v>25</v>
      </c>
      <c r="F5" t="s">
        <v>26</v>
      </c>
      <c r="G5" t="s">
        <v>53</v>
      </c>
    </row>
    <row r="6" spans="2:7" x14ac:dyDescent="0.3">
      <c r="B6" s="2" t="s">
        <v>4</v>
      </c>
      <c r="C6" t="s">
        <v>28</v>
      </c>
      <c r="D6" t="s">
        <v>29</v>
      </c>
      <c r="E6" t="s">
        <v>30</v>
      </c>
      <c r="F6" t="s">
        <v>31</v>
      </c>
      <c r="G6" t="s">
        <v>54</v>
      </c>
    </row>
    <row r="7" spans="2:7" x14ac:dyDescent="0.3">
      <c r="B7" s="2" t="s">
        <v>5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</row>
    <row r="8" spans="2:7" x14ac:dyDescent="0.3">
      <c r="B8" s="2" t="s">
        <v>6</v>
      </c>
      <c r="C8" t="s">
        <v>32</v>
      </c>
      <c r="D8" t="s">
        <v>29</v>
      </c>
      <c r="E8" t="s">
        <v>27</v>
      </c>
      <c r="F8" t="s">
        <v>33</v>
      </c>
      <c r="G8" t="s">
        <v>60</v>
      </c>
    </row>
    <row r="9" spans="2:7" x14ac:dyDescent="0.3">
      <c r="B9" s="2" t="s">
        <v>7</v>
      </c>
      <c r="C9" t="s">
        <v>46</v>
      </c>
      <c r="D9" t="s">
        <v>47</v>
      </c>
      <c r="E9" t="s">
        <v>48</v>
      </c>
      <c r="F9" t="s">
        <v>49</v>
      </c>
      <c r="G9" t="s">
        <v>61</v>
      </c>
    </row>
  </sheetData>
  <mergeCells count="1"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16B6-08D4-4840-AFB0-AC9CA5DB1B4F}">
  <dimension ref="A1:K33"/>
  <sheetViews>
    <sheetView tabSelected="1" zoomScaleNormal="100" workbookViewId="0">
      <selection activeCell="S16" sqref="S16"/>
    </sheetView>
  </sheetViews>
  <sheetFormatPr defaultRowHeight="14.4" x14ac:dyDescent="0.3"/>
  <cols>
    <col min="1" max="1" width="14.6640625" customWidth="1"/>
    <col min="2" max="2" width="9.5546875" bestFit="1" customWidth="1"/>
    <col min="7" max="7" width="10.88671875" customWidth="1"/>
    <col min="8" max="8" width="13.77734375" customWidth="1"/>
    <col min="9" max="9" width="6.6640625" customWidth="1"/>
    <col min="10" max="10" width="6.88671875" customWidth="1"/>
    <col min="11" max="11" width="13.77734375" customWidth="1"/>
  </cols>
  <sheetData>
    <row r="1" spans="1:11" ht="15" thickBot="1" x14ac:dyDescent="0.35">
      <c r="A1" s="19" t="s">
        <v>44</v>
      </c>
      <c r="B1" s="19"/>
      <c r="C1" s="19"/>
      <c r="D1" s="19"/>
      <c r="E1" s="19"/>
      <c r="F1" s="19"/>
      <c r="G1" s="19"/>
      <c r="H1" s="19"/>
    </row>
    <row r="2" spans="1:11" ht="28.2" thickBot="1" x14ac:dyDescent="0.35">
      <c r="A2" s="4"/>
      <c r="B2" s="5" t="s">
        <v>34</v>
      </c>
      <c r="C2" s="5" t="s">
        <v>35</v>
      </c>
      <c r="D2" s="5" t="s">
        <v>3</v>
      </c>
      <c r="E2" s="5" t="s">
        <v>4</v>
      </c>
      <c r="F2" s="5" t="s">
        <v>36</v>
      </c>
      <c r="G2" s="5" t="s">
        <v>6</v>
      </c>
      <c r="H2" s="5" t="s">
        <v>7</v>
      </c>
    </row>
    <row r="3" spans="1:11" ht="15" thickBot="1" x14ac:dyDescent="0.35">
      <c r="A3" s="6" t="s">
        <v>34</v>
      </c>
      <c r="B3" s="7">
        <v>1</v>
      </c>
      <c r="C3" s="7">
        <v>2</v>
      </c>
      <c r="D3" s="7">
        <v>0.5</v>
      </c>
      <c r="E3" s="7">
        <v>0.25</v>
      </c>
      <c r="F3" s="7">
        <v>0.33</v>
      </c>
      <c r="G3" s="7">
        <v>3</v>
      </c>
      <c r="H3" s="7">
        <v>0.5</v>
      </c>
    </row>
    <row r="4" spans="1:11" ht="16.8" customHeight="1" thickBot="1" x14ac:dyDescent="0.35">
      <c r="A4" s="6" t="s">
        <v>35</v>
      </c>
      <c r="B4" s="7">
        <v>0.5</v>
      </c>
      <c r="C4" s="7">
        <v>1</v>
      </c>
      <c r="D4" s="7">
        <v>0.33</v>
      </c>
      <c r="E4" s="7">
        <v>0.25</v>
      </c>
      <c r="F4" s="7">
        <v>0.25</v>
      </c>
      <c r="G4" s="7">
        <v>3</v>
      </c>
      <c r="H4" s="7">
        <v>0.33</v>
      </c>
    </row>
    <row r="5" spans="1:11" ht="15" thickBot="1" x14ac:dyDescent="0.35">
      <c r="A5" s="6" t="s">
        <v>3</v>
      </c>
      <c r="B5" s="7">
        <v>2</v>
      </c>
      <c r="C5" s="7">
        <v>3</v>
      </c>
      <c r="D5" s="7">
        <v>1</v>
      </c>
      <c r="E5" s="7">
        <v>0.5</v>
      </c>
      <c r="F5" s="7">
        <v>0.5</v>
      </c>
      <c r="G5" s="7">
        <v>4</v>
      </c>
      <c r="H5" s="7">
        <v>2</v>
      </c>
    </row>
    <row r="6" spans="1:11" ht="15" thickBot="1" x14ac:dyDescent="0.35">
      <c r="A6" s="6" t="s">
        <v>4</v>
      </c>
      <c r="B6" s="7">
        <v>4</v>
      </c>
      <c r="C6" s="7">
        <v>4</v>
      </c>
      <c r="D6" s="7">
        <v>2</v>
      </c>
      <c r="E6" s="7">
        <v>1</v>
      </c>
      <c r="F6" s="7">
        <v>1</v>
      </c>
      <c r="G6" s="7">
        <v>5</v>
      </c>
      <c r="H6" s="7">
        <v>2</v>
      </c>
    </row>
    <row r="7" spans="1:11" ht="15" thickBot="1" x14ac:dyDescent="0.35">
      <c r="A7" s="6" t="s">
        <v>36</v>
      </c>
      <c r="B7" s="7">
        <v>3</v>
      </c>
      <c r="C7" s="7">
        <v>4</v>
      </c>
      <c r="D7" s="7">
        <v>2</v>
      </c>
      <c r="E7" s="7">
        <v>1</v>
      </c>
      <c r="F7" s="7">
        <v>1</v>
      </c>
      <c r="G7" s="7">
        <v>5</v>
      </c>
      <c r="H7" s="7">
        <v>3</v>
      </c>
    </row>
    <row r="8" spans="1:11" ht="13.8" customHeight="1" thickBot="1" x14ac:dyDescent="0.35">
      <c r="A8" s="6" t="s">
        <v>6</v>
      </c>
      <c r="B8" s="7">
        <v>0.33</v>
      </c>
      <c r="C8" s="7">
        <v>0.33</v>
      </c>
      <c r="D8" s="7">
        <v>0.25</v>
      </c>
      <c r="E8" s="7">
        <v>0.2</v>
      </c>
      <c r="F8" s="7">
        <v>0.2</v>
      </c>
      <c r="G8" s="7">
        <v>1</v>
      </c>
      <c r="H8" s="7">
        <v>0.25</v>
      </c>
    </row>
    <row r="9" spans="1:11" ht="15" customHeight="1" thickBot="1" x14ac:dyDescent="0.35">
      <c r="A9" s="6" t="s">
        <v>7</v>
      </c>
      <c r="B9" s="7">
        <v>2</v>
      </c>
      <c r="C9" s="7">
        <v>3</v>
      </c>
      <c r="D9" s="7">
        <v>0.5</v>
      </c>
      <c r="E9" s="7">
        <v>0.5</v>
      </c>
      <c r="F9" s="7">
        <v>0.33</v>
      </c>
      <c r="G9" s="7">
        <v>4</v>
      </c>
      <c r="H9" s="7">
        <v>1</v>
      </c>
    </row>
    <row r="10" spans="1:11" ht="15" thickBot="1" x14ac:dyDescent="0.35">
      <c r="A10" s="6" t="s">
        <v>37</v>
      </c>
      <c r="B10" s="7">
        <f>SUM(B3:B9)</f>
        <v>12.83</v>
      </c>
      <c r="C10" s="7">
        <f t="shared" ref="C10:H10" si="0">SUM(C3:C9)</f>
        <v>17.329999999999998</v>
      </c>
      <c r="D10" s="7">
        <f t="shared" si="0"/>
        <v>6.58</v>
      </c>
      <c r="E10" s="7">
        <f t="shared" si="0"/>
        <v>3.7</v>
      </c>
      <c r="F10" s="7">
        <f t="shared" si="0"/>
        <v>3.6100000000000003</v>
      </c>
      <c r="G10" s="7">
        <f t="shared" si="0"/>
        <v>25</v>
      </c>
      <c r="H10" s="7">
        <f t="shared" si="0"/>
        <v>9.08</v>
      </c>
    </row>
    <row r="12" spans="1:11" ht="15" thickBot="1" x14ac:dyDescent="0.35">
      <c r="A12" s="18" t="s">
        <v>39</v>
      </c>
      <c r="B12" s="18"/>
      <c r="C12" s="18"/>
      <c r="D12" s="18"/>
      <c r="E12" s="18"/>
      <c r="F12" s="18"/>
      <c r="G12" s="18"/>
      <c r="H12" s="18"/>
      <c r="I12" s="18"/>
      <c r="J12" s="9"/>
    </row>
    <row r="13" spans="1:11" ht="28.2" thickBot="1" x14ac:dyDescent="0.35">
      <c r="B13" s="5" t="s">
        <v>34</v>
      </c>
      <c r="C13" s="5" t="s">
        <v>35</v>
      </c>
      <c r="D13" s="5" t="s">
        <v>3</v>
      </c>
      <c r="E13" s="5" t="s">
        <v>4</v>
      </c>
      <c r="F13" s="5" t="s">
        <v>36</v>
      </c>
      <c r="G13" s="5" t="s">
        <v>6</v>
      </c>
      <c r="H13" s="5" t="s">
        <v>7</v>
      </c>
      <c r="I13" s="13" t="s">
        <v>38</v>
      </c>
      <c r="J13" s="14" t="s">
        <v>45</v>
      </c>
    </row>
    <row r="14" spans="1:11" ht="15" thickBot="1" x14ac:dyDescent="0.35">
      <c r="A14" s="6" t="s">
        <v>34</v>
      </c>
      <c r="B14" s="8">
        <f t="shared" ref="B14:H14" si="1">B3/B10</f>
        <v>7.7942322681215898E-2</v>
      </c>
      <c r="C14" s="8">
        <f t="shared" si="1"/>
        <v>0.11540680900173111</v>
      </c>
      <c r="D14" s="8">
        <f t="shared" si="1"/>
        <v>7.598784194528875E-2</v>
      </c>
      <c r="E14" s="8">
        <f t="shared" si="1"/>
        <v>6.7567567567567557E-2</v>
      </c>
      <c r="F14" s="8">
        <f t="shared" si="1"/>
        <v>9.141274238227147E-2</v>
      </c>
      <c r="G14" s="8">
        <f t="shared" si="1"/>
        <v>0.12</v>
      </c>
      <c r="H14" s="8">
        <f t="shared" si="1"/>
        <v>5.5066079295154183E-2</v>
      </c>
      <c r="I14" s="10">
        <f t="shared" ref="I14:I20" si="2">AVERAGE(B14:H14)</f>
        <v>8.6197623267604134E-2</v>
      </c>
      <c r="J14" s="15">
        <f>I14*100</f>
        <v>8.619762326760414</v>
      </c>
      <c r="K14" s="6" t="s">
        <v>34</v>
      </c>
    </row>
    <row r="15" spans="1:11" ht="18.600000000000001" customHeight="1" thickBot="1" x14ac:dyDescent="0.35">
      <c r="A15" s="6" t="s">
        <v>35</v>
      </c>
      <c r="B15" s="8">
        <f t="shared" ref="B15:H15" si="3">B4/B10</f>
        <v>3.8971161340607949E-2</v>
      </c>
      <c r="C15" s="8">
        <f t="shared" si="3"/>
        <v>5.7703404500865557E-2</v>
      </c>
      <c r="D15" s="8">
        <f t="shared" si="3"/>
        <v>5.0151975683890578E-2</v>
      </c>
      <c r="E15" s="8">
        <f t="shared" si="3"/>
        <v>6.7567567567567557E-2</v>
      </c>
      <c r="F15" s="8">
        <f t="shared" si="3"/>
        <v>6.9252077562326861E-2</v>
      </c>
      <c r="G15" s="8">
        <f t="shared" si="3"/>
        <v>0.12</v>
      </c>
      <c r="H15" s="8">
        <f t="shared" si="3"/>
        <v>3.6343612334801767E-2</v>
      </c>
      <c r="I15" s="10">
        <f t="shared" si="2"/>
        <v>6.2855685570008618E-2</v>
      </c>
      <c r="J15" s="15">
        <f t="shared" ref="J15:J20" si="4">I15*100</f>
        <v>6.2855685570008619</v>
      </c>
      <c r="K15" s="6" t="s">
        <v>35</v>
      </c>
    </row>
    <row r="16" spans="1:11" ht="15" thickBot="1" x14ac:dyDescent="0.35">
      <c r="A16" s="6" t="s">
        <v>3</v>
      </c>
      <c r="B16" s="8">
        <f t="shared" ref="B16:H16" si="5">B5/B10</f>
        <v>0.1558846453624318</v>
      </c>
      <c r="C16" s="8">
        <f t="shared" si="5"/>
        <v>0.17311021350259667</v>
      </c>
      <c r="D16" s="8">
        <f t="shared" si="5"/>
        <v>0.1519756838905775</v>
      </c>
      <c r="E16" s="8">
        <f t="shared" si="5"/>
        <v>0.13513513513513511</v>
      </c>
      <c r="F16" s="8">
        <f t="shared" si="5"/>
        <v>0.13850415512465372</v>
      </c>
      <c r="G16" s="8">
        <f t="shared" si="5"/>
        <v>0.16</v>
      </c>
      <c r="H16" s="8">
        <f t="shared" si="5"/>
        <v>0.22026431718061673</v>
      </c>
      <c r="I16" s="10">
        <f t="shared" si="2"/>
        <v>0.16212487859943023</v>
      </c>
      <c r="J16" s="15">
        <f t="shared" si="4"/>
        <v>16.212487859943021</v>
      </c>
      <c r="K16" s="6" t="s">
        <v>3</v>
      </c>
    </row>
    <row r="17" spans="1:11" ht="15" thickBot="1" x14ac:dyDescent="0.35">
      <c r="A17" s="6" t="s">
        <v>4</v>
      </c>
      <c r="B17" s="8">
        <f t="shared" ref="B17:H17" si="6">B6/B10</f>
        <v>0.31176929072486359</v>
      </c>
      <c r="C17" s="8">
        <f t="shared" si="6"/>
        <v>0.23081361800346223</v>
      </c>
      <c r="D17" s="8">
        <f t="shared" si="6"/>
        <v>0.303951367781155</v>
      </c>
      <c r="E17" s="8">
        <f t="shared" si="6"/>
        <v>0.27027027027027023</v>
      </c>
      <c r="F17" s="8">
        <f t="shared" si="6"/>
        <v>0.27700831024930744</v>
      </c>
      <c r="G17" s="8">
        <f t="shared" si="6"/>
        <v>0.2</v>
      </c>
      <c r="H17" s="8">
        <f t="shared" si="6"/>
        <v>0.22026431718061673</v>
      </c>
      <c r="I17" s="10">
        <f t="shared" si="2"/>
        <v>0.2591538820299536</v>
      </c>
      <c r="J17" s="15">
        <f t="shared" si="4"/>
        <v>25.915388202995359</v>
      </c>
      <c r="K17" s="6" t="s">
        <v>4</v>
      </c>
    </row>
    <row r="18" spans="1:11" ht="15" thickBot="1" x14ac:dyDescent="0.35">
      <c r="A18" s="6" t="s">
        <v>36</v>
      </c>
      <c r="B18" s="8">
        <f t="shared" ref="B18:H18" si="7">B7/B10</f>
        <v>0.23382696804364769</v>
      </c>
      <c r="C18" s="8">
        <f t="shared" si="7"/>
        <v>0.23081361800346223</v>
      </c>
      <c r="D18" s="8">
        <f t="shared" si="7"/>
        <v>0.303951367781155</v>
      </c>
      <c r="E18" s="8">
        <f t="shared" si="7"/>
        <v>0.27027027027027023</v>
      </c>
      <c r="F18" s="8">
        <f t="shared" si="7"/>
        <v>0.27700831024930744</v>
      </c>
      <c r="G18" s="8">
        <f t="shared" si="7"/>
        <v>0.2</v>
      </c>
      <c r="H18" s="8">
        <f t="shared" si="7"/>
        <v>0.33039647577092512</v>
      </c>
      <c r="I18" s="10">
        <f t="shared" si="2"/>
        <v>0.2637524300169668</v>
      </c>
      <c r="J18" s="15">
        <f t="shared" si="4"/>
        <v>26.375243001696681</v>
      </c>
      <c r="K18" s="6" t="s">
        <v>36</v>
      </c>
    </row>
    <row r="19" spans="1:11" ht="14.4" customHeight="1" thickBot="1" x14ac:dyDescent="0.35">
      <c r="A19" s="6" t="s">
        <v>6</v>
      </c>
      <c r="B19" s="8">
        <f t="shared" ref="B19:H19" si="8">B8/B10</f>
        <v>2.5720966484801249E-2</v>
      </c>
      <c r="C19" s="8">
        <f t="shared" si="8"/>
        <v>1.9042123485285636E-2</v>
      </c>
      <c r="D19" s="8">
        <f t="shared" si="8"/>
        <v>3.7993920972644375E-2</v>
      </c>
      <c r="E19" s="8">
        <f t="shared" si="8"/>
        <v>5.4054054054054057E-2</v>
      </c>
      <c r="F19" s="8">
        <f t="shared" si="8"/>
        <v>5.5401662049861494E-2</v>
      </c>
      <c r="G19" s="8">
        <f t="shared" si="8"/>
        <v>0.04</v>
      </c>
      <c r="H19" s="8">
        <f t="shared" si="8"/>
        <v>2.7533039647577091E-2</v>
      </c>
      <c r="I19" s="10">
        <f t="shared" si="2"/>
        <v>3.7106538099174843E-2</v>
      </c>
      <c r="J19" s="15">
        <f t="shared" si="4"/>
        <v>3.7106538099174844</v>
      </c>
      <c r="K19" s="6" t="s">
        <v>6</v>
      </c>
    </row>
    <row r="20" spans="1:11" ht="13.8" customHeight="1" thickBot="1" x14ac:dyDescent="0.35">
      <c r="A20" s="6" t="s">
        <v>7</v>
      </c>
      <c r="B20" s="8">
        <f t="shared" ref="B20:H20" si="9">B9/B10</f>
        <v>0.1558846453624318</v>
      </c>
      <c r="C20" s="8">
        <f t="shared" si="9"/>
        <v>0.17311021350259667</v>
      </c>
      <c r="D20" s="8">
        <f t="shared" si="9"/>
        <v>7.598784194528875E-2</v>
      </c>
      <c r="E20" s="8">
        <f t="shared" si="9"/>
        <v>0.13513513513513511</v>
      </c>
      <c r="F20" s="8">
        <f t="shared" si="9"/>
        <v>9.141274238227147E-2</v>
      </c>
      <c r="G20" s="8">
        <f t="shared" si="9"/>
        <v>0.16</v>
      </c>
      <c r="H20" s="8">
        <f t="shared" si="9"/>
        <v>0.11013215859030837</v>
      </c>
      <c r="I20" s="10">
        <f t="shared" si="2"/>
        <v>0.12880896241686174</v>
      </c>
      <c r="J20" s="15">
        <f t="shared" si="4"/>
        <v>12.880896241686173</v>
      </c>
      <c r="K20" s="6" t="s">
        <v>7</v>
      </c>
    </row>
    <row r="21" spans="1:11" x14ac:dyDescent="0.3">
      <c r="I21" s="11">
        <f>SUM(I14:I20)</f>
        <v>1</v>
      </c>
      <c r="J21" s="16">
        <f>SUM(J14:J20)</f>
        <v>100</v>
      </c>
    </row>
    <row r="22" spans="1:11" ht="15" thickBot="1" x14ac:dyDescent="0.35">
      <c r="B22" s="18" t="s">
        <v>41</v>
      </c>
      <c r="C22" s="18"/>
      <c r="D22" s="18"/>
      <c r="E22" s="18"/>
      <c r="F22" s="18"/>
      <c r="G22" s="18"/>
      <c r="H22" s="18"/>
      <c r="I22" s="18"/>
      <c r="J22" s="9"/>
    </row>
    <row r="23" spans="1:11" ht="28.2" customHeight="1" thickBot="1" x14ac:dyDescent="0.35">
      <c r="B23" s="5" t="s">
        <v>34</v>
      </c>
      <c r="C23" s="5" t="s">
        <v>35</v>
      </c>
      <c r="D23" s="5" t="s">
        <v>3</v>
      </c>
      <c r="E23" s="5" t="s">
        <v>4</v>
      </c>
      <c r="F23" s="5" t="s">
        <v>36</v>
      </c>
      <c r="G23" s="5" t="s">
        <v>6</v>
      </c>
      <c r="H23" s="5" t="s">
        <v>7</v>
      </c>
      <c r="I23" s="13" t="s">
        <v>40</v>
      </c>
      <c r="J23" s="14"/>
    </row>
    <row r="24" spans="1:11" ht="15" thickBot="1" x14ac:dyDescent="0.35">
      <c r="A24" s="6" t="s">
        <v>34</v>
      </c>
      <c r="B24" s="8">
        <f t="shared" ref="B24:B30" si="10">B3*$I$14</f>
        <v>8.6197623267604134E-2</v>
      </c>
      <c r="C24" s="8">
        <f t="shared" ref="C24:C30" si="11">C3*$I$15</f>
        <v>0.12571137114001724</v>
      </c>
      <c r="D24" s="8">
        <f t="shared" ref="D24:D30" si="12">D3*$I$16</f>
        <v>8.1062439299715114E-2</v>
      </c>
      <c r="E24" s="8">
        <f t="shared" ref="E24:E30" si="13">E3*$I$17</f>
        <v>6.4788470507488399E-2</v>
      </c>
      <c r="F24" s="8">
        <f t="shared" ref="F24:F30" si="14">F3*$I$18</f>
        <v>8.7038301905599053E-2</v>
      </c>
      <c r="G24" s="8">
        <f t="shared" ref="G24:G30" si="15">G3*$I$19</f>
        <v>0.11131961429752453</v>
      </c>
      <c r="H24" s="8">
        <f t="shared" ref="H24:H30" si="16">H3*$I$20</f>
        <v>6.4404481208430869E-2</v>
      </c>
      <c r="I24" s="10">
        <f t="shared" ref="I24:I30" si="17">SUM(B24:H24)</f>
        <v>0.62052230162637934</v>
      </c>
      <c r="J24" s="10"/>
      <c r="K24">
        <f>I24/I14</f>
        <v>7.1988330780297947</v>
      </c>
    </row>
    <row r="25" spans="1:11" ht="15" thickBot="1" x14ac:dyDescent="0.35">
      <c r="A25" s="6" t="s">
        <v>35</v>
      </c>
      <c r="B25" s="8">
        <f t="shared" si="10"/>
        <v>4.3098811633802067E-2</v>
      </c>
      <c r="C25" s="8">
        <f t="shared" si="11"/>
        <v>6.2855685570008618E-2</v>
      </c>
      <c r="D25" s="8">
        <f t="shared" si="12"/>
        <v>5.3501209937811975E-2</v>
      </c>
      <c r="E25" s="8">
        <f t="shared" si="13"/>
        <v>6.4788470507488399E-2</v>
      </c>
      <c r="F25" s="8">
        <f t="shared" si="14"/>
        <v>6.59381075042417E-2</v>
      </c>
      <c r="G25" s="8">
        <f t="shared" si="15"/>
        <v>0.11131961429752453</v>
      </c>
      <c r="H25" s="8">
        <f t="shared" si="16"/>
        <v>4.2506957597564378E-2</v>
      </c>
      <c r="I25" s="10">
        <f t="shared" si="17"/>
        <v>0.44400885704844167</v>
      </c>
      <c r="J25" s="10"/>
      <c r="K25">
        <f t="shared" ref="K25:K30" si="18">I25/I15</f>
        <v>7.0639410424360882</v>
      </c>
    </row>
    <row r="26" spans="1:11" ht="15" thickBot="1" x14ac:dyDescent="0.35">
      <c r="A26" s="6" t="s">
        <v>3</v>
      </c>
      <c r="B26" s="8">
        <f t="shared" si="10"/>
        <v>0.17239524653520827</v>
      </c>
      <c r="C26" s="8">
        <f t="shared" si="11"/>
        <v>0.18856705671002585</v>
      </c>
      <c r="D26" s="8">
        <f t="shared" si="12"/>
        <v>0.16212487859943023</v>
      </c>
      <c r="E26" s="8">
        <f t="shared" si="13"/>
        <v>0.1295769410149768</v>
      </c>
      <c r="F26" s="8">
        <f t="shared" si="14"/>
        <v>0.1318762150084834</v>
      </c>
      <c r="G26" s="8">
        <f t="shared" si="15"/>
        <v>0.14842615239669937</v>
      </c>
      <c r="H26" s="8">
        <f t="shared" si="16"/>
        <v>0.25761792483372348</v>
      </c>
      <c r="I26" s="10">
        <f t="shared" si="17"/>
        <v>1.1905844150985474</v>
      </c>
      <c r="J26" s="10"/>
      <c r="K26">
        <f t="shared" si="18"/>
        <v>7.3436256383585761</v>
      </c>
    </row>
    <row r="27" spans="1:11" ht="15" thickBot="1" x14ac:dyDescent="0.35">
      <c r="A27" s="6" t="s">
        <v>4</v>
      </c>
      <c r="B27" s="8">
        <f t="shared" si="10"/>
        <v>0.34479049307041654</v>
      </c>
      <c r="C27" s="8">
        <f t="shared" si="11"/>
        <v>0.25142274228003447</v>
      </c>
      <c r="D27" s="8">
        <f t="shared" si="12"/>
        <v>0.32424975719886046</v>
      </c>
      <c r="E27" s="8">
        <f t="shared" si="13"/>
        <v>0.2591538820299536</v>
      </c>
      <c r="F27" s="8">
        <f t="shared" si="14"/>
        <v>0.2637524300169668</v>
      </c>
      <c r="G27" s="8">
        <f t="shared" si="15"/>
        <v>0.18553269049587423</v>
      </c>
      <c r="H27" s="8">
        <f t="shared" si="16"/>
        <v>0.25761792483372348</v>
      </c>
      <c r="I27" s="10">
        <f t="shared" si="17"/>
        <v>1.8865199199258296</v>
      </c>
      <c r="J27" s="10"/>
      <c r="K27">
        <f t="shared" si="18"/>
        <v>7.2795356378562035</v>
      </c>
    </row>
    <row r="28" spans="1:11" ht="15" thickBot="1" x14ac:dyDescent="0.35">
      <c r="A28" s="6" t="s">
        <v>36</v>
      </c>
      <c r="B28" s="8">
        <f t="shared" si="10"/>
        <v>0.25859286980281238</v>
      </c>
      <c r="C28" s="8">
        <f t="shared" si="11"/>
        <v>0.25142274228003447</v>
      </c>
      <c r="D28" s="8">
        <f t="shared" si="12"/>
        <v>0.32424975719886046</v>
      </c>
      <c r="E28" s="8">
        <f t="shared" si="13"/>
        <v>0.2591538820299536</v>
      </c>
      <c r="F28" s="8">
        <f t="shared" si="14"/>
        <v>0.2637524300169668</v>
      </c>
      <c r="G28" s="8">
        <f t="shared" si="15"/>
        <v>0.18553269049587423</v>
      </c>
      <c r="H28" s="8">
        <f t="shared" si="16"/>
        <v>0.38642688725058522</v>
      </c>
      <c r="I28" s="10">
        <f t="shared" si="17"/>
        <v>1.9291312590750869</v>
      </c>
      <c r="J28" s="10"/>
      <c r="K28">
        <f t="shared" si="18"/>
        <v>7.3141743526343577</v>
      </c>
    </row>
    <row r="29" spans="1:11" ht="15" thickBot="1" x14ac:dyDescent="0.35">
      <c r="A29" s="6" t="s">
        <v>6</v>
      </c>
      <c r="B29" s="8">
        <f t="shared" si="10"/>
        <v>2.8445215678309366E-2</v>
      </c>
      <c r="C29" s="8">
        <f t="shared" si="11"/>
        <v>2.0742376238102846E-2</v>
      </c>
      <c r="D29" s="8">
        <f t="shared" si="12"/>
        <v>4.0531219649857557E-2</v>
      </c>
      <c r="E29" s="8">
        <f t="shared" si="13"/>
        <v>5.1830776405990722E-2</v>
      </c>
      <c r="F29" s="8">
        <f t="shared" si="14"/>
        <v>5.2750486003393361E-2</v>
      </c>
      <c r="G29" s="8">
        <f t="shared" si="15"/>
        <v>3.7106538099174843E-2</v>
      </c>
      <c r="H29" s="8">
        <f t="shared" si="16"/>
        <v>3.2202240604215435E-2</v>
      </c>
      <c r="I29" s="10">
        <f t="shared" si="17"/>
        <v>0.2636088526790441</v>
      </c>
      <c r="J29" s="10"/>
      <c r="K29">
        <f t="shared" si="18"/>
        <v>7.1041079600175934</v>
      </c>
    </row>
    <row r="30" spans="1:11" ht="15" thickBot="1" x14ac:dyDescent="0.35">
      <c r="A30" s="6" t="s">
        <v>7</v>
      </c>
      <c r="B30" s="8">
        <f t="shared" si="10"/>
        <v>0.17239524653520827</v>
      </c>
      <c r="C30" s="8">
        <f t="shared" si="11"/>
        <v>0.18856705671002585</v>
      </c>
      <c r="D30" s="8">
        <f t="shared" si="12"/>
        <v>8.1062439299715114E-2</v>
      </c>
      <c r="E30" s="8">
        <f t="shared" si="13"/>
        <v>0.1295769410149768</v>
      </c>
      <c r="F30" s="8">
        <f t="shared" si="14"/>
        <v>8.7038301905599053E-2</v>
      </c>
      <c r="G30" s="8">
        <f t="shared" si="15"/>
        <v>0.14842615239669937</v>
      </c>
      <c r="H30" s="8">
        <f t="shared" si="16"/>
        <v>0.12880896241686174</v>
      </c>
      <c r="I30" s="10">
        <f t="shared" si="17"/>
        <v>0.93587510027908616</v>
      </c>
      <c r="J30" s="10"/>
      <c r="K30">
        <f t="shared" si="18"/>
        <v>7.2656054572533026</v>
      </c>
    </row>
    <row r="31" spans="1:11" x14ac:dyDescent="0.3">
      <c r="K31" s="12">
        <f>AVERAGE(K24:K30)</f>
        <v>7.2242604523694158</v>
      </c>
    </row>
    <row r="32" spans="1:11" x14ac:dyDescent="0.3">
      <c r="B32" s="3" t="s">
        <v>42</v>
      </c>
      <c r="C32" s="10">
        <f>(K31-7)/(7-1)</f>
        <v>3.7376742061569303E-2</v>
      </c>
    </row>
    <row r="33" spans="2:3" x14ac:dyDescent="0.3">
      <c r="B33" s="3" t="s">
        <v>43</v>
      </c>
      <c r="C33" s="3">
        <f>C32/1.32</f>
        <v>2.8315713683007046E-2</v>
      </c>
    </row>
  </sheetData>
  <mergeCells count="3">
    <mergeCell ref="A12:I12"/>
    <mergeCell ref="B22:I2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F8AB-B0B9-47FE-B9B5-DE8CB807B859}">
  <dimension ref="A1:B8"/>
  <sheetViews>
    <sheetView workbookViewId="0">
      <selection activeCell="P3" sqref="P3"/>
    </sheetView>
  </sheetViews>
  <sheetFormatPr defaultRowHeight="14.4" x14ac:dyDescent="0.3"/>
  <cols>
    <col min="1" max="1" width="17.5546875" customWidth="1"/>
    <col min="2" max="2" width="35.77734375" customWidth="1"/>
  </cols>
  <sheetData>
    <row r="1" spans="1:2" x14ac:dyDescent="0.3">
      <c r="A1" t="s">
        <v>0</v>
      </c>
      <c r="B1" t="s">
        <v>51</v>
      </c>
    </row>
    <row r="2" spans="1:2" x14ac:dyDescent="0.3">
      <c r="A2" t="s">
        <v>34</v>
      </c>
      <c r="B2">
        <v>9</v>
      </c>
    </row>
    <row r="3" spans="1:2" x14ac:dyDescent="0.3">
      <c r="A3" t="s">
        <v>2</v>
      </c>
      <c r="B3">
        <v>6</v>
      </c>
    </row>
    <row r="4" spans="1:2" x14ac:dyDescent="0.3">
      <c r="A4" t="s">
        <v>3</v>
      </c>
      <c r="B4">
        <v>16</v>
      </c>
    </row>
    <row r="5" spans="1:2" x14ac:dyDescent="0.3">
      <c r="A5" t="s">
        <v>4</v>
      </c>
      <c r="B5">
        <v>26</v>
      </c>
    </row>
    <row r="6" spans="1:2" x14ac:dyDescent="0.3">
      <c r="A6" t="s">
        <v>50</v>
      </c>
      <c r="B6">
        <v>26</v>
      </c>
    </row>
    <row r="7" spans="1:2" x14ac:dyDescent="0.3">
      <c r="A7" t="s">
        <v>6</v>
      </c>
      <c r="B7">
        <v>4</v>
      </c>
    </row>
    <row r="8" spans="1:2" x14ac:dyDescent="0.3">
      <c r="A8" t="s">
        <v>7</v>
      </c>
      <c r="B8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CRITERIA</vt:lpstr>
      <vt:lpstr>AHP</vt:lpstr>
      <vt:lpstr>Final 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Adebola David Adedayo</dc:creator>
  <cp:lastModifiedBy>Adebola David Adedayo</cp:lastModifiedBy>
  <dcterms:created xsi:type="dcterms:W3CDTF">2025-10-28T13:18:32Z</dcterms:created>
  <dcterms:modified xsi:type="dcterms:W3CDTF">2026-01-21T19:53:53Z</dcterms:modified>
</cp:coreProperties>
</file>